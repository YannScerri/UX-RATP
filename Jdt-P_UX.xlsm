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Trimestre 4\Projet UX\"/>
    </mc:Choice>
  </mc:AlternateContent>
  <xr:revisionPtr revIDLastSave="0" documentId="13_ncr:1_{DB2967D9-A3E0-4AB8-9DDA-2D56D0FAE0B7}" xr6:coauthVersionLast="47" xr6:coauthVersionMax="47" xr10:uidLastSave="{00000000-0000-0000-0000-000000000000}"/>
  <bookViews>
    <workbookView xWindow="2175" yWindow="2310" windowWidth="21600" windowHeight="11295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7" l="1"/>
  <c r="D115" i="157" s="1"/>
  <c r="D134" i="157" s="1"/>
  <c r="D39" i="157"/>
  <c r="D77" i="157"/>
  <c r="D58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<sst xmlns="http://schemas.openxmlformats.org/spreadsheetml/2006/main" count="234" uniqueCount="67">
  <si>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</si>
  <si>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</si>
  <si>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</si>
  <si>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</si>
  <si>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</si>
  <si>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</si>
  <si>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</si>
  <si>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</si>
  <si>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</si>
  <si>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</si>
  <si>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</si>
  <si>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</si>
  <si>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</si>
  <si>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</si>
  <si>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</si>
  <si>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</si>
  <si>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</si>
  <si>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</si>
  <si>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</si>
  <si>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</si>
  <si>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</si>
  <si>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</si>
  <si>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</si>
  <si>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</si>
  <si>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</si>
  <si>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Yann Scerri</t>
  </si>
  <si>
    <t>FIN1</t>
  </si>
  <si>
    <t>ETML (Vennes)</t>
  </si>
  <si>
    <t>Documentation</t>
  </si>
  <si>
    <t>Code</t>
  </si>
  <si>
    <t>Maquette</t>
  </si>
  <si>
    <t>Recherches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</si>
  <si>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</si>
  <si>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</si>
  <si>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</si>
  <si>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</si>
  <si>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</si>
  <si>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</si>
  <si>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</si>
  <si>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</si>
  <si>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</si>
  <si>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</si>
  <si>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Finir Menu</t>
  </si>
  <si>
    <t>Rendre le projet MVC</t>
  </si>
  <si>
    <t>Billets normaux et spéciaux</t>
  </si>
  <si>
    <t>début de i18n</t>
  </si>
  <si>
    <t>Avancée billets normaux et spéciaux</t>
  </si>
  <si>
    <t>Corriger navigation entre les Views</t>
  </si>
  <si>
    <t>Ecran de paiement</t>
  </si>
  <si>
    <t xml:space="preserve">Finir le rapport </t>
  </si>
  <si>
    <t xml:space="preserve">Finir l'écran de paiement en gardant en compte les prix </t>
  </si>
  <si>
    <t>Finir I18N</t>
  </si>
  <si>
    <t xml:space="preserve">Maquette Papier </t>
  </si>
  <si>
    <t>Maquette Figma</t>
  </si>
  <si>
    <t xml:space="preserve">Finir la maquette Figma </t>
  </si>
  <si>
    <t>Création des premières vues</t>
  </si>
  <si>
    <t>créer un menu dans une optique tactile</t>
  </si>
  <si>
    <t>Rapport de projet</t>
  </si>
  <si>
    <t>Mquette papier</t>
  </si>
  <si>
    <t>Faire un menu</t>
  </si>
  <si>
    <t>Faire l'écran des billets standards</t>
  </si>
  <si>
    <t>Avancer sur le menu et l'achat de billets</t>
  </si>
  <si>
    <t>i18n</t>
  </si>
  <si>
    <t>Faire l'écran de paiement</t>
  </si>
  <si>
    <t>Faire le Rapport</t>
  </si>
  <si>
    <t>Finir le WinForm</t>
  </si>
  <si>
    <t>Finir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</si>
</sst>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7" fillId="14" borderId="29" xfId="0" applyFont="1" applyFill="1" applyBorder="1" applyAlignment="1">
      <alignment horizontal="center" vertical="center"/>
    </xf>
    <xf numFmtId="0" fontId="17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16" borderId="43" xfId="0" applyFill="1" applyBorder="1"/>
    <xf numFmtId="0" fontId="0" fillId="16" borderId="44" xfId="0" applyFill="1" applyBorder="1"/>
    <xf numFmtId="0" fontId="0" fillId="16" borderId="45" xfId="0" applyFill="1" applyBorder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6" fillId="6" borderId="35" xfId="0" applyNumberFormat="1" applyFont="1" applyFill="1" applyBorder="1" applyAlignment="1">
      <alignment vertical="center"/>
    </xf>
    <xf numFmtId="0" fontId="16" fillId="6" borderId="19" xfId="0" applyFont="1" applyFill="1" applyBorder="1" applyAlignment="1">
      <alignment vertical="center"/>
    </xf>
    <xf numFmtId="0" fontId="18" fillId="9" borderId="14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6" fillId="6" borderId="35" xfId="0" applyFont="1" applyFill="1" applyBorder="1" applyAlignment="1">
      <alignment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11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9" t="s">
        <v>19</v>
      </c>
      <c r="C19" s="120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FCF4-1A76-44BF-A3B9-924296EC9568}">
  <sheetPr codeName="Feuil7"/>
  <dimension ref="A1:CU16"/>
  <sheetViews>
    <sheetView topLeftCell="A1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5</v>
      </c>
      <c r="C2" s="15" t="s">
        <v>18</v>
      </c>
      <c r="D2" s="123" t="s">
        <v>32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5"/>
      <c r="P2" s="123" t="s">
        <v>33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34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5"/>
      <c r="AN2" s="123" t="s">
        <v>35</v>
      </c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36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5"/>
      <c r="BL2" s="123" t="s">
        <v>37</v>
      </c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38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5"/>
      <c r="CJ2" s="123" t="s">
        <v>39</v>
      </c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</row>
    <row r="3" spans="1:99" ht="19.5" customHeight="1" x14ac:dyDescent="0.25">
      <c r="A3" s="19"/>
      <c r="B3" s="126" t="s">
        <v>21</v>
      </c>
      <c r="C3" s="16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90"/>
      <c r="P3" s="86"/>
      <c r="Q3" s="87"/>
      <c r="R3" s="88"/>
      <c r="S3" s="89"/>
      <c r="T3" s="87"/>
      <c r="U3" s="88"/>
      <c r="V3" s="89"/>
      <c r="W3" s="87"/>
      <c r="X3" s="88"/>
      <c r="Y3" s="89"/>
      <c r="Z3" s="87"/>
      <c r="AA3" s="90"/>
      <c r="AB3" s="86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90"/>
      <c r="AZ3" s="86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90"/>
      <c r="BL3" s="86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90"/>
      <c r="BX3" s="86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90"/>
      <c r="CJ3" s="86"/>
      <c r="CK3" s="87"/>
      <c r="CL3" s="88"/>
      <c r="CM3" s="89"/>
      <c r="CN3" s="87"/>
      <c r="CO3" s="88"/>
      <c r="CP3" s="89"/>
      <c r="CQ3" s="87"/>
      <c r="CR3" s="88"/>
      <c r="CS3" s="89"/>
      <c r="CT3" s="87"/>
      <c r="CU3" s="90"/>
    </row>
    <row r="4" spans="1:99" ht="19.5" customHeight="1" thickBot="1" x14ac:dyDescent="0.3">
      <c r="A4" s="19"/>
      <c r="B4" s="127"/>
      <c r="C4" s="22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5"/>
      <c r="P4" s="91"/>
      <c r="Q4" s="92"/>
      <c r="R4" s="93"/>
      <c r="S4" s="94"/>
      <c r="T4" s="92"/>
      <c r="U4" s="93"/>
      <c r="V4" s="94"/>
      <c r="W4" s="92"/>
      <c r="X4" s="93"/>
      <c r="Y4" s="94"/>
      <c r="Z4" s="92"/>
      <c r="AA4" s="95"/>
      <c r="AB4" s="91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5"/>
      <c r="AZ4" s="91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5"/>
      <c r="BL4" s="91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5"/>
      <c r="BX4" s="91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5"/>
      <c r="CJ4" s="91"/>
      <c r="CK4" s="92"/>
      <c r="CL4" s="93"/>
      <c r="CM4" s="94"/>
      <c r="CN4" s="92"/>
      <c r="CO4" s="93"/>
      <c r="CP4" s="94"/>
      <c r="CQ4" s="92"/>
      <c r="CR4" s="93"/>
      <c r="CS4" s="94"/>
      <c r="CT4" s="92"/>
      <c r="CU4" s="95"/>
    </row>
    <row r="5" spans="1:99" ht="19.5" customHeight="1" x14ac:dyDescent="0.25">
      <c r="B5" s="128" t="str">
        <f>Donnees!$C$21</f>
        <v>Documentation</v>
      </c>
      <c r="C5" s="96">
        <v>34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90"/>
      <c r="P5" s="109"/>
      <c r="Q5" s="110"/>
      <c r="R5" s="111"/>
      <c r="S5" s="112"/>
      <c r="T5" s="110"/>
      <c r="U5" s="111"/>
      <c r="V5" s="112"/>
      <c r="W5" s="110"/>
      <c r="X5" s="111"/>
      <c r="Y5" s="112"/>
      <c r="Z5" s="110"/>
      <c r="AA5" s="113"/>
      <c r="AB5" s="109"/>
      <c r="AC5" s="110"/>
      <c r="AD5" s="111"/>
      <c r="AE5" s="112"/>
      <c r="AF5" s="110"/>
      <c r="AG5" s="111"/>
      <c r="AH5" s="112"/>
      <c r="AI5" s="110"/>
      <c r="AJ5" s="111"/>
      <c r="AK5" s="112"/>
      <c r="AL5" s="110"/>
      <c r="AM5" s="113"/>
      <c r="AN5" s="86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90"/>
      <c r="AZ5" s="86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90"/>
      <c r="BL5" s="86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90"/>
      <c r="BX5" s="86"/>
      <c r="BY5" s="87"/>
      <c r="BZ5" s="88"/>
      <c r="CA5" s="89"/>
      <c r="CB5" s="87"/>
      <c r="CC5" s="88"/>
      <c r="CD5" s="112"/>
      <c r="CE5" s="110"/>
      <c r="CF5" s="111"/>
      <c r="CG5" s="112"/>
      <c r="CH5" s="110"/>
      <c r="CI5" s="113"/>
      <c r="CJ5" s="86"/>
      <c r="CK5" s="87"/>
      <c r="CL5" s="88"/>
      <c r="CM5" s="89"/>
      <c r="CN5" s="87"/>
      <c r="CO5" s="88"/>
      <c r="CP5" s="89"/>
      <c r="CQ5" s="87"/>
      <c r="CR5" s="111"/>
      <c r="CS5" s="112"/>
      <c r="CT5" s="110"/>
      <c r="CU5" s="113"/>
    </row>
    <row r="6" spans="1:99" ht="19.5" customHeight="1" thickBot="1" x14ac:dyDescent="0.3">
      <c r="B6" s="122"/>
      <c r="C6" s="97">
        <v>6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5"/>
      <c r="P6" s="91"/>
      <c r="Q6" s="92"/>
      <c r="R6" s="93"/>
      <c r="S6" s="94"/>
      <c r="T6" s="92"/>
      <c r="U6" s="93"/>
      <c r="V6" s="94"/>
      <c r="W6" s="92"/>
      <c r="X6" s="93"/>
      <c r="Y6" s="94"/>
      <c r="Z6" s="92"/>
      <c r="AA6" s="95"/>
      <c r="AB6" s="91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5"/>
      <c r="AZ6" s="91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5"/>
      <c r="BL6" s="91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5"/>
      <c r="BX6" s="91"/>
      <c r="BY6" s="92"/>
      <c r="BZ6" s="93"/>
      <c r="CA6" s="94"/>
      <c r="CB6" s="92"/>
      <c r="CC6" s="93"/>
      <c r="CD6" s="117"/>
      <c r="CE6" s="115"/>
      <c r="CF6" s="116"/>
      <c r="CG6" s="117"/>
      <c r="CH6" s="115"/>
      <c r="CI6" s="118"/>
      <c r="CJ6" s="91"/>
      <c r="CK6" s="92"/>
      <c r="CL6" s="93"/>
      <c r="CM6" s="94"/>
      <c r="CN6" s="92"/>
      <c r="CO6" s="93"/>
      <c r="CP6" s="94"/>
      <c r="CQ6" s="92"/>
      <c r="CR6" s="93"/>
      <c r="CS6" s="94"/>
      <c r="CT6" s="92"/>
      <c r="CU6" s="95"/>
    </row>
    <row r="7" spans="1:99" ht="19.5" customHeight="1" x14ac:dyDescent="0.25">
      <c r="B7" s="121" t="str">
        <f>Donnees!$C$22</f>
        <v>Code</v>
      </c>
      <c r="C7" s="96">
        <v>50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90"/>
      <c r="P7" s="86"/>
      <c r="Q7" s="87"/>
      <c r="R7" s="88"/>
      <c r="S7" s="89"/>
      <c r="T7" s="87"/>
      <c r="U7" s="88"/>
      <c r="V7" s="89"/>
      <c r="W7" s="87"/>
      <c r="X7" s="88"/>
      <c r="Y7" s="89"/>
      <c r="Z7" s="87"/>
      <c r="AA7" s="90"/>
      <c r="AB7" s="86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90"/>
      <c r="AN7" s="109"/>
      <c r="AO7" s="110"/>
      <c r="AP7" s="111"/>
      <c r="AQ7" s="112"/>
      <c r="AR7" s="110"/>
      <c r="AS7" s="111"/>
      <c r="AT7" s="112"/>
      <c r="AU7" s="110"/>
      <c r="AV7" s="111"/>
      <c r="AW7" s="112"/>
      <c r="AX7" s="110"/>
      <c r="AY7" s="113"/>
      <c r="AZ7" s="109"/>
      <c r="BA7" s="110"/>
      <c r="BB7" s="111"/>
      <c r="BC7" s="112"/>
      <c r="BD7" s="110"/>
      <c r="BE7" s="111"/>
      <c r="BF7" s="112"/>
      <c r="BG7" s="110"/>
      <c r="BH7" s="111"/>
      <c r="BI7" s="112"/>
      <c r="BJ7" s="110"/>
      <c r="BK7" s="113"/>
      <c r="BL7" s="109"/>
      <c r="BM7" s="110"/>
      <c r="BN7" s="111"/>
      <c r="BO7" s="112"/>
      <c r="BP7" s="110"/>
      <c r="BQ7" s="111"/>
      <c r="BR7" s="112"/>
      <c r="BS7" s="110"/>
      <c r="BT7" s="111"/>
      <c r="BU7" s="112"/>
      <c r="BV7" s="110"/>
      <c r="BW7" s="113"/>
      <c r="BX7" s="109"/>
      <c r="BY7" s="110"/>
      <c r="BZ7" s="111"/>
      <c r="CA7" s="112"/>
      <c r="CB7" s="110"/>
      <c r="CC7" s="111"/>
      <c r="CD7" s="89"/>
      <c r="CE7" s="87"/>
      <c r="CF7" s="88"/>
      <c r="CG7" s="89"/>
      <c r="CH7" s="87"/>
      <c r="CI7" s="90"/>
      <c r="CJ7" s="109"/>
      <c r="CK7" s="110"/>
      <c r="CL7" s="111"/>
      <c r="CM7" s="112"/>
      <c r="CN7" s="110"/>
      <c r="CO7" s="111"/>
      <c r="CP7" s="112"/>
      <c r="CQ7" s="110"/>
      <c r="CR7" s="88"/>
      <c r="CS7" s="89"/>
      <c r="CT7" s="87"/>
      <c r="CU7" s="90"/>
    </row>
    <row r="8" spans="1:99" ht="19.5" customHeight="1" thickBot="1" x14ac:dyDescent="0.3">
      <c r="B8" s="122"/>
      <c r="C8" s="97">
        <v>58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5"/>
      <c r="P8" s="91"/>
      <c r="Q8" s="92"/>
      <c r="R8" s="93"/>
      <c r="S8" s="94"/>
      <c r="T8" s="92"/>
      <c r="U8" s="93"/>
      <c r="V8" s="94"/>
      <c r="W8" s="92"/>
      <c r="X8" s="93"/>
      <c r="Y8" s="94"/>
      <c r="Z8" s="92"/>
      <c r="AA8" s="95"/>
      <c r="AB8" s="91"/>
      <c r="AC8" s="92"/>
      <c r="AD8" s="93"/>
      <c r="AE8" s="94"/>
      <c r="AF8" s="92"/>
      <c r="AG8" s="93"/>
      <c r="AH8" s="117"/>
      <c r="AI8" s="115"/>
      <c r="AJ8" s="116"/>
      <c r="AK8" s="117"/>
      <c r="AL8" s="115"/>
      <c r="AM8" s="118"/>
      <c r="AN8" s="114"/>
      <c r="AO8" s="115"/>
      <c r="AP8" s="116"/>
      <c r="AQ8" s="117"/>
      <c r="AR8" s="115"/>
      <c r="AS8" s="116"/>
      <c r="AT8" s="117"/>
      <c r="AU8" s="115"/>
      <c r="AV8" s="116"/>
      <c r="AW8" s="117"/>
      <c r="AX8" s="115"/>
      <c r="AY8" s="118"/>
      <c r="AZ8" s="114"/>
      <c r="BA8" s="115"/>
      <c r="BB8" s="116"/>
      <c r="BC8" s="117"/>
      <c r="BD8" s="115"/>
      <c r="BE8" s="116"/>
      <c r="BF8" s="117"/>
      <c r="BG8" s="115"/>
      <c r="BH8" s="116"/>
      <c r="BI8" s="117"/>
      <c r="BJ8" s="115"/>
      <c r="BK8" s="118"/>
      <c r="BL8" s="114"/>
      <c r="BM8" s="115"/>
      <c r="BN8" s="116"/>
      <c r="BO8" s="117"/>
      <c r="BP8" s="115"/>
      <c r="BQ8" s="116"/>
      <c r="BR8" s="117"/>
      <c r="BS8" s="115"/>
      <c r="BT8" s="116"/>
      <c r="BU8" s="117"/>
      <c r="BV8" s="115"/>
      <c r="BW8" s="118"/>
      <c r="BX8" s="114"/>
      <c r="BY8" s="115"/>
      <c r="BZ8" s="116"/>
      <c r="CA8" s="117"/>
      <c r="CB8" s="115"/>
      <c r="CC8" s="116"/>
      <c r="CD8" s="94"/>
      <c r="CE8" s="92"/>
      <c r="CF8" s="93"/>
      <c r="CG8" s="94"/>
      <c r="CH8" s="92"/>
      <c r="CI8" s="95"/>
      <c r="CJ8" s="114"/>
      <c r="CK8" s="115"/>
      <c r="CL8" s="116"/>
      <c r="CM8" s="117"/>
      <c r="CN8" s="115"/>
      <c r="CO8" s="116"/>
      <c r="CP8" s="117"/>
      <c r="CQ8" s="115"/>
      <c r="CR8" s="116"/>
      <c r="CS8" s="117"/>
      <c r="CT8" s="92"/>
      <c r="CU8" s="95"/>
    </row>
    <row r="9" spans="1:99" ht="19.5" customHeight="1" x14ac:dyDescent="0.25">
      <c r="B9" s="121" t="str">
        <f>Donnees!$C$23</f>
        <v>Maquette</v>
      </c>
      <c r="C9" s="96">
        <v>12</v>
      </c>
      <c r="D9" s="109"/>
      <c r="E9" s="110"/>
      <c r="F9" s="111"/>
      <c r="G9" s="112"/>
      <c r="H9" s="110"/>
      <c r="I9" s="111"/>
      <c r="J9" s="112"/>
      <c r="K9" s="110"/>
      <c r="L9" s="111"/>
      <c r="M9" s="112"/>
      <c r="N9" s="110"/>
      <c r="O9" s="113"/>
      <c r="P9" s="86"/>
      <c r="Q9" s="87"/>
      <c r="R9" s="88"/>
      <c r="S9" s="89"/>
      <c r="T9" s="87"/>
      <c r="U9" s="88"/>
      <c r="V9" s="89"/>
      <c r="W9" s="87"/>
      <c r="X9" s="88"/>
      <c r="Y9" s="89"/>
      <c r="Z9" s="87"/>
      <c r="AA9" s="90"/>
      <c r="AB9" s="86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90"/>
      <c r="AZ9" s="86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90"/>
      <c r="BL9" s="86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90"/>
      <c r="BX9" s="86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90"/>
      <c r="CJ9" s="86"/>
      <c r="CK9" s="87"/>
      <c r="CL9" s="88"/>
      <c r="CM9" s="89"/>
      <c r="CN9" s="87"/>
      <c r="CO9" s="88"/>
      <c r="CP9" s="89"/>
      <c r="CQ9" s="87"/>
      <c r="CR9" s="88"/>
      <c r="CS9" s="89"/>
      <c r="CT9" s="87"/>
      <c r="CU9" s="90"/>
    </row>
    <row r="10" spans="1:99" ht="19.5" customHeight="1" thickBot="1" x14ac:dyDescent="0.3">
      <c r="B10" s="122"/>
      <c r="C10" s="97">
        <v>30</v>
      </c>
      <c r="D10" s="114"/>
      <c r="E10" s="115"/>
      <c r="F10" s="116"/>
      <c r="G10" s="117"/>
      <c r="H10" s="115"/>
      <c r="I10" s="116"/>
      <c r="J10" s="117"/>
      <c r="K10" s="115"/>
      <c r="L10" s="116"/>
      <c r="M10" s="117"/>
      <c r="N10" s="115"/>
      <c r="O10" s="118"/>
      <c r="P10" s="114"/>
      <c r="Q10" s="115"/>
      <c r="R10" s="116"/>
      <c r="S10" s="117"/>
      <c r="T10" s="115"/>
      <c r="U10" s="116"/>
      <c r="V10" s="117"/>
      <c r="W10" s="115"/>
      <c r="X10" s="116"/>
      <c r="Y10" s="117"/>
      <c r="Z10" s="115"/>
      <c r="AA10" s="118"/>
      <c r="AB10" s="114"/>
      <c r="AC10" s="115"/>
      <c r="AD10" s="116"/>
      <c r="AE10" s="117"/>
      <c r="AF10" s="115"/>
      <c r="AG10" s="116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5"/>
      <c r="AZ10" s="91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5"/>
      <c r="BL10" s="91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5"/>
      <c r="BX10" s="91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5"/>
      <c r="CJ10" s="91"/>
      <c r="CK10" s="92"/>
      <c r="CL10" s="93"/>
      <c r="CM10" s="94"/>
      <c r="CN10" s="92"/>
      <c r="CO10" s="93"/>
      <c r="CP10" s="94"/>
      <c r="CQ10" s="92"/>
      <c r="CR10" s="93"/>
      <c r="CS10" s="94"/>
      <c r="CT10" s="92"/>
      <c r="CU10" s="95"/>
    </row>
    <row r="11" spans="1:99" ht="19.5" customHeight="1" x14ac:dyDescent="0.25">
      <c r="B11" s="121" t="str">
        <f>Donnees!$C$24</f>
        <v>Recherches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90"/>
      <c r="P11" s="86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90"/>
      <c r="AB11" s="86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90"/>
      <c r="AZ11" s="86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90"/>
      <c r="BL11" s="86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90"/>
      <c r="BX11" s="86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90"/>
      <c r="CJ11" s="86"/>
      <c r="CK11" s="87"/>
      <c r="CL11" s="88"/>
      <c r="CM11" s="89"/>
      <c r="CN11" s="87"/>
      <c r="CO11" s="88"/>
      <c r="CP11" s="89"/>
      <c r="CQ11" s="87"/>
      <c r="CR11" s="88"/>
      <c r="CS11" s="89"/>
      <c r="CT11" s="87"/>
      <c r="CU11" s="90"/>
    </row>
    <row r="12" spans="1:99" ht="19.5" customHeight="1" x14ac:dyDescent="0.25">
      <c r="B12" s="122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5"/>
      <c r="P12" s="91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5"/>
      <c r="AB12" s="91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5"/>
      <c r="AZ12" s="91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5"/>
      <c r="BL12" s="91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5"/>
      <c r="BX12" s="91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5"/>
      <c r="CJ12" s="91"/>
      <c r="CK12" s="92"/>
      <c r="CL12" s="93"/>
      <c r="CM12" s="94"/>
      <c r="CN12" s="92"/>
      <c r="CO12" s="93"/>
      <c r="CP12" s="94"/>
      <c r="CQ12" s="92"/>
      <c r="CR12" s="93"/>
      <c r="CS12" s="94"/>
      <c r="CT12" s="92"/>
      <c r="CU12" s="95"/>
    </row>
    <row r="13" spans="1:99" ht="19.5" customHeight="1" x14ac:dyDescent="0.25">
      <c r="B13" s="25" t="s">
        <v>16</v>
      </c>
      <c r="C13" s="27">
        <f>SUM($C$3,$C$5,$C$7,$C$9,$C$11)</f>
        <v>96</v>
      </c>
      <c r="D13" s="98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100"/>
      <c r="P13" s="98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100"/>
      <c r="AB13" s="98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100"/>
      <c r="AN13" s="98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100"/>
      <c r="AZ13" s="98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100"/>
      <c r="BL13" s="98"/>
      <c r="BM13" s="99"/>
      <c r="BN13" s="99"/>
      <c r="BO13" s="99"/>
      <c r="BP13" s="99"/>
      <c r="BQ13" s="99"/>
      <c r="BR13" s="99"/>
      <c r="BS13" s="99"/>
      <c r="BT13" s="99"/>
      <c r="BU13" s="99"/>
      <c r="BV13" s="99"/>
      <c r="BW13" s="100"/>
      <c r="BX13" s="98"/>
      <c r="BY13" s="99"/>
      <c r="BZ13" s="99"/>
      <c r="CA13" s="99"/>
      <c r="CB13" s="99"/>
      <c r="CC13" s="99"/>
      <c r="CD13" s="99"/>
      <c r="CE13" s="99"/>
      <c r="CF13" s="99"/>
      <c r="CG13" s="99"/>
      <c r="CH13" s="99"/>
      <c r="CI13" s="100"/>
      <c r="CJ13" s="98"/>
      <c r="CK13" s="99"/>
      <c r="CL13" s="99"/>
      <c r="CM13" s="99"/>
      <c r="CN13" s="99"/>
      <c r="CO13" s="99"/>
      <c r="CP13" s="99"/>
      <c r="CQ13" s="99"/>
      <c r="CR13" s="99"/>
      <c r="CS13" s="99"/>
      <c r="CT13" s="99"/>
      <c r="CU13" s="100"/>
    </row>
    <row r="14" spans="1:99" ht="19.5" customHeight="1" thickBot="1" x14ac:dyDescent="0.3">
      <c r="B14" s="26" t="s">
        <v>17</v>
      </c>
      <c r="C14" s="28">
        <f>SUM($C$4,$C$6,$C$8,$C$10,$C$12)</f>
        <v>94</v>
      </c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3"/>
      <c r="P14" s="101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3"/>
      <c r="AB14" s="101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3"/>
      <c r="AN14" s="101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3"/>
      <c r="AZ14" s="101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3"/>
      <c r="BL14" s="101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3"/>
      <c r="BX14" s="101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3"/>
      <c r="CJ14" s="101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3"/>
    </row>
    <row r="16" spans="1:99" ht="19.5" customHeight="1" x14ac:dyDescent="0.25">
      <c r="A16" s="41"/>
    </row>
  </sheetData>
  <sheetProtection sheet="1" objects="1" scenarios="1" insertRows="0" selectLockedCells="1"/>
  <mergeCells count="13">
    <mergeCell ref="B11:B12"/>
    <mergeCell ref="CJ2:CU2"/>
    <mergeCell ref="P2:AA2"/>
    <mergeCell ref="AB2:AM2"/>
    <mergeCell ref="AN2:AY2"/>
    <mergeCell ref="AZ2:BK2"/>
    <mergeCell ref="BL2:BW2"/>
    <mergeCell ref="BX2:CI2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1AD85791-89E8-44A8-B326-A8BBCD470C7B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6" t="s">
        <v>21</v>
      </c>
      <c r="C3" s="16">
        <v>0</v>
      </c>
    </row>
    <row r="4" spans="1:4" ht="19.5" customHeight="1" x14ac:dyDescent="0.25">
      <c r="A4" s="19"/>
      <c r="B4" s="12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CF1E-3559-4FA4-BBD6-D2B45CCC527D}">
  <sheetPr codeName="Feuil5"/>
  <dimension ref="A1:H113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30</v>
      </c>
      <c r="B3" s="4">
        <v>12</v>
      </c>
      <c r="C3" s="107" t="s">
        <v>58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104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28</v>
      </c>
      <c r="B17" s="4">
        <v>12</v>
      </c>
      <c r="C17" s="107" t="s">
        <v>53</v>
      </c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104" t="s">
        <v>40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>
        <v>12</v>
      </c>
      <c r="C31" s="107" t="s">
        <v>53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104" t="s">
        <v>40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29</v>
      </c>
      <c r="B45" s="4">
        <v>5</v>
      </c>
      <c r="C45" s="107" t="s">
        <v>59</v>
      </c>
      <c r="D45" s="9"/>
    </row>
    <row r="46" spans="1:4" x14ac:dyDescent="0.25">
      <c r="A46" s="1" t="s">
        <v>29</v>
      </c>
      <c r="B46" s="2">
        <v>7</v>
      </c>
      <c r="C46" s="108" t="s">
        <v>60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104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29</v>
      </c>
      <c r="B59" s="4">
        <v>12</v>
      </c>
      <c r="C59" s="107" t="s">
        <v>61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104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29</v>
      </c>
      <c r="B73" s="4">
        <v>8</v>
      </c>
      <c r="C73" s="107" t="s">
        <v>43</v>
      </c>
      <c r="D73" s="9"/>
    </row>
    <row r="74" spans="1:4" x14ac:dyDescent="0.25">
      <c r="A74" s="1" t="s">
        <v>29</v>
      </c>
      <c r="B74" s="2">
        <v>4</v>
      </c>
      <c r="C74" s="108" t="s">
        <v>62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104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29</v>
      </c>
      <c r="B87" s="4">
        <v>6</v>
      </c>
      <c r="C87" s="107" t="s">
        <v>63</v>
      </c>
      <c r="D87" s="9"/>
    </row>
    <row r="88" spans="1:4" x14ac:dyDescent="0.25">
      <c r="A88" s="1" t="s">
        <v>28</v>
      </c>
      <c r="B88" s="2">
        <v>6</v>
      </c>
      <c r="C88" s="108" t="s">
        <v>64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104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8</v>
      </c>
      <c r="C101" s="107" t="s">
        <v>65</v>
      </c>
      <c r="D101" s="9"/>
    </row>
    <row r="102" spans="1:4" x14ac:dyDescent="0.25">
      <c r="A102" s="1" t="s">
        <v>28</v>
      </c>
      <c r="B102" s="2">
        <v>4</v>
      </c>
      <c r="C102" s="108" t="s">
        <v>66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104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05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F9E3FF75-5AF3-4F57-8C70-1184C81F11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ABCEE1D-4954-4684-9A0A-67D46DDAD54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9E5882D-5789-4941-924C-D85B1B8119D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A68FED-DBA9-4925-A090-EFD69F9B040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A6C-6798-4300-99D9-2F85DD39B25D}">
  <sheetPr codeName="Feuil9"/>
  <dimension ref="A1:H153"/>
  <sheetViews>
    <sheetView tabSelected="1" workbookViewId="0">
      <selection activeCell="C123" sqref="C12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30</v>
      </c>
      <c r="B3" s="4">
        <v>4</v>
      </c>
      <c r="C3" s="107" t="s">
        <v>52</v>
      </c>
      <c r="D3" s="9"/>
    </row>
    <row r="4" spans="1:4" s="52" customFormat="1" x14ac:dyDescent="0.25">
      <c r="A4" s="1" t="s">
        <v>30</v>
      </c>
      <c r="B4" s="2">
        <v>8</v>
      </c>
      <c r="C4" s="108" t="s">
        <v>53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106" t="s">
        <v>40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10</v>
      </c>
      <c r="C22" s="107" t="s">
        <v>53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10</v>
      </c>
      <c r="C37" s="106" t="s">
        <v>40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$D$20+21</f>
        <v>45400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D41" s="9"/>
    </row>
    <row r="42" spans="1:8" x14ac:dyDescent="0.25">
      <c r="A42" s="1" t="s">
        <v>30</v>
      </c>
      <c r="B42" s="2">
        <v>8</v>
      </c>
      <c r="C42" s="108" t="s">
        <v>54</v>
      </c>
      <c r="D42" s="10"/>
    </row>
    <row r="43" spans="1:8" x14ac:dyDescent="0.25">
      <c r="A43" s="1" t="s">
        <v>29</v>
      </c>
      <c r="B43" s="2">
        <v>4</v>
      </c>
      <c r="C43" s="108" t="s">
        <v>55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106" t="s">
        <v>40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45407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29</v>
      </c>
      <c r="B60" s="4">
        <v>6</v>
      </c>
      <c r="C60" s="107" t="s">
        <v>56</v>
      </c>
      <c r="D60" s="9"/>
    </row>
    <row r="61" spans="1:4" x14ac:dyDescent="0.25">
      <c r="A61" s="1" t="s">
        <v>29</v>
      </c>
      <c r="B61" s="2">
        <v>6</v>
      </c>
      <c r="C61" s="108" t="s">
        <v>45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106" t="s">
        <v>40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45414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29</v>
      </c>
      <c r="B79" s="4">
        <v>6</v>
      </c>
      <c r="C79" s="107" t="s">
        <v>42</v>
      </c>
      <c r="D79" s="9"/>
    </row>
    <row r="80" spans="1:4" x14ac:dyDescent="0.25">
      <c r="A80" s="1" t="s">
        <v>29</v>
      </c>
      <c r="B80" s="2">
        <v>6</v>
      </c>
      <c r="C80" s="108" t="s">
        <v>44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106" t="s">
        <v>40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$D$77+14</f>
        <v>45428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29</v>
      </c>
      <c r="B98" s="4">
        <v>4</v>
      </c>
      <c r="C98" s="107" t="s">
        <v>43</v>
      </c>
      <c r="D98" s="9"/>
    </row>
    <row r="99" spans="1:4" x14ac:dyDescent="0.25">
      <c r="A99" s="1" t="s">
        <v>29</v>
      </c>
      <c r="B99" s="2">
        <v>3</v>
      </c>
      <c r="C99" s="108" t="s">
        <v>45</v>
      </c>
      <c r="D99" s="10"/>
    </row>
    <row r="100" spans="1:4" x14ac:dyDescent="0.25">
      <c r="A100" s="1" t="s">
        <v>29</v>
      </c>
      <c r="B100" s="2">
        <v>5</v>
      </c>
      <c r="C100" s="108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106" t="s">
        <v>40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45435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29</v>
      </c>
      <c r="B117" s="4">
        <v>3</v>
      </c>
      <c r="C117" s="107" t="s">
        <v>47</v>
      </c>
      <c r="D117" s="9"/>
    </row>
    <row r="118" spans="1:4" x14ac:dyDescent="0.25">
      <c r="A118" s="1" t="s">
        <v>29</v>
      </c>
      <c r="B118" s="2">
        <v>5</v>
      </c>
      <c r="C118" s="108" t="s">
        <v>48</v>
      </c>
      <c r="D118" s="10"/>
    </row>
    <row r="119" spans="1:4" x14ac:dyDescent="0.25">
      <c r="B119" s="2"/>
      <c r="C119" s="10"/>
      <c r="D119" s="10"/>
    </row>
    <row r="120" spans="1:4" x14ac:dyDescent="0.25">
      <c r="A120" s="1" t="s">
        <v>28</v>
      </c>
      <c r="B120" s="2">
        <v>4</v>
      </c>
      <c r="C120" s="108" t="s">
        <v>57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106" t="s">
        <v>40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45442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28</v>
      </c>
      <c r="B136" s="4">
        <v>2</v>
      </c>
      <c r="C136" s="107" t="s">
        <v>49</v>
      </c>
      <c r="D136" s="9"/>
    </row>
    <row r="137" spans="1:4" x14ac:dyDescent="0.25">
      <c r="A137" s="1" t="s">
        <v>29</v>
      </c>
      <c r="B137" s="2">
        <v>5</v>
      </c>
      <c r="C137" s="108" t="s">
        <v>50</v>
      </c>
      <c r="D137" s="10"/>
    </row>
    <row r="138" spans="1:4" x14ac:dyDescent="0.25">
      <c r="A138" s="1" t="s">
        <v>29</v>
      </c>
      <c r="B138" s="2">
        <v>5</v>
      </c>
      <c r="C138" s="108" t="s">
        <v>51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12</v>
      </c>
      <c r="C151" s="106" t="s">
        <v>40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05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A21D910-A9DB-4D77-B8C0-8E1F6A65644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2:B55" xr:uid="{5452D8D7-468D-4B2A-9BD8-5D2065FBF27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116254C-CA90-4468-9D22-C48FF6A3710A}">
      <formula1>0</formula1>
      <formula2>NbPerWeek * NbQuartPer</formula2>
    </dataValidation>
    <dataValidation type="list" allowBlank="1" showInputMessage="1" showErrorMessage="1" sqref="A3:A17 A22:A36 A60:A74 A98:A112 A136:A150 A79:A93 A42:A55 A117:A118 A120:A131" xr:uid="{05523C99-1A69-4452-A52B-F40945F1FD4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2024-05-30T20:39:47Z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