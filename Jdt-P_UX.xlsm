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4\Projet UX\"/>
    </mc:Choice>
  </mc:AlternateContent>
  <xr:revisionPtr revIDLastSave="0" documentId="13_ncr:1_{51171607-ABF5-496C-BF75-DEC74420C529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<sst xmlns="http://schemas.openxmlformats.org/spreadsheetml/2006/main" count="186" uniqueCount="47">
  <si>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</si>
  <si>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</si>
  <si>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</si>
  <si>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</si>
  <si>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</si>
  <si>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</si>
  <si>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</si>
  <si>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</si>
  <si>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</si>
  <si>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</si>
  <si>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</si>
  <si>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</si>
  <si>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</si>
  <si>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</si>
  <si>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</si>
  <si>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</si>
  <si>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</si>
  <si>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</si>
  <si>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</si>
  <si>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</si>
  <si>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</si>
  <si>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</si>
  <si>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</si>
  <si>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</si>
  <si>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P_UX</t>
  </si>
  <si>
    <t>Yann Scerri</t>
  </si>
  <si>
    <t>FIN1</t>
  </si>
  <si>
    <t>ETML (Vennes)</t>
  </si>
  <si>
    <t>Documentation</t>
  </si>
  <si>
    <t>Code</t>
  </si>
  <si>
    <t>Maquette</t>
  </si>
  <si>
    <t>Recherches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</si>
  <si>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</si>
  <si>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</si>
  <si>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</si>
  <si>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</si>
  <si>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</si>
  <si>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</si>
  <si>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</si>
  <si>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</si>
  <si>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</si>
  <si>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</si>
  <si>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Finir Menu</t>
  </si>
  <si>
    <t>Rendre le projet MVC</t>
  </si>
  <si>
    <t>Billets normaux et spéciaux</t>
  </si>
  <si>
    <t>début de i18n</t>
  </si>
  <si>
    <t>Avancée billets normaux et spéciaux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</si>
</sst>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5" zoomScaleNormal="100" zoomScaleSheetLayoutView="100" workbookViewId="0">
      <selection activeCell="C9" sqref="C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5FCF4-1A76-44BF-A3B9-924296EC9568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7" t="s">
        <v>32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P2" s="117" t="s">
        <v>33</v>
      </c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34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9"/>
      <c r="AN2" s="117" t="s">
        <v>35</v>
      </c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36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9"/>
      <c r="BL2" s="117" t="s">
        <v>37</v>
      </c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9"/>
      <c r="BX2" s="117" t="s">
        <v>38</v>
      </c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9"/>
      <c r="CJ2" s="117" t="s">
        <v>39</v>
      </c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9"/>
    </row>
    <row r="3" spans="1:99" ht="19.5" customHeight="1" x14ac:dyDescent="0.25">
      <c r="A3" s="90"/>
      <c r="B3" s="120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1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2" t="str">
        <f>Donnees!$C$21</f>
        <v>Documentation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3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4" t="str">
        <f>Donnees!$C$22</f>
        <v>Code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3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4" t="str">
        <f>Donnees!$C$23</f>
        <v>Maquette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3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4" t="str">
        <f>Donnees!$C$24</f>
        <v>Recherches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x14ac:dyDescent="0.25">
      <c r="B12" s="123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25" t="s">
        <v>16</v>
      </c>
      <c r="C13" s="27">
        <f>SUM($C$3,$C$5,$C$7,$C$9,$C$11)</f>
        <v>0</v>
      </c>
      <c r="D13" s="103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5"/>
      <c r="P13" s="103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5"/>
      <c r="AB13" s="103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5"/>
      <c r="AN13" s="103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5"/>
      <c r="AZ13" s="103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5"/>
      <c r="BL13" s="103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5"/>
      <c r="BX13" s="103"/>
      <c r="BY13" s="104"/>
      <c r="BZ13" s="104"/>
      <c r="CA13" s="104"/>
      <c r="CB13" s="104"/>
      <c r="CC13" s="104"/>
      <c r="CD13" s="104"/>
      <c r="CE13" s="104"/>
      <c r="CF13" s="104"/>
      <c r="CG13" s="104"/>
      <c r="CH13" s="104"/>
      <c r="CI13" s="105"/>
      <c r="CJ13" s="103"/>
      <c r="CK13" s="104"/>
      <c r="CL13" s="104"/>
      <c r="CM13" s="104"/>
      <c r="CN13" s="104"/>
      <c r="CO13" s="104"/>
      <c r="CP13" s="104"/>
      <c r="CQ13" s="104"/>
      <c r="CR13" s="104"/>
      <c r="CS13" s="104"/>
      <c r="CT13" s="104"/>
      <c r="CU13" s="105"/>
    </row>
    <row r="14" spans="1:99" ht="19.5" customHeight="1" thickBot="1" x14ac:dyDescent="0.3">
      <c r="B14" s="26" t="s">
        <v>17</v>
      </c>
      <c r="C14" s="28">
        <f>SUM($C$4,$C$6,$C$8,$C$10,$C$12)</f>
        <v>0</v>
      </c>
      <c r="D14" s="106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8"/>
      <c r="P14" s="106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8"/>
      <c r="AB14" s="106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8"/>
      <c r="AN14" s="106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8"/>
      <c r="AZ14" s="106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8"/>
      <c r="BL14" s="106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8"/>
      <c r="BX14" s="106"/>
      <c r="BY14" s="107"/>
      <c r="BZ14" s="107"/>
      <c r="CA14" s="107"/>
      <c r="CB14" s="107"/>
      <c r="CC14" s="107"/>
      <c r="CD14" s="107"/>
      <c r="CE14" s="107"/>
      <c r="CF14" s="107"/>
      <c r="CG14" s="107"/>
      <c r="CH14" s="107"/>
      <c r="CI14" s="108"/>
      <c r="CJ14" s="106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8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3">
    <mergeCell ref="B11:B12"/>
    <mergeCell ref="CJ2:CU2"/>
    <mergeCell ref="P2:AA2"/>
    <mergeCell ref="AB2:AM2"/>
    <mergeCell ref="AN2:AY2"/>
    <mergeCell ref="AZ2:BK2"/>
    <mergeCell ref="BL2:BW2"/>
    <mergeCell ref="BX2:CI2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1AD85791-89E8-44A8-B326-A8BBCD470C7B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0" t="s">
        <v>21</v>
      </c>
      <c r="C3" s="16">
        <v>0</v>
      </c>
    </row>
    <row r="4" spans="1:4" ht="19.5" customHeight="1" x14ac:dyDescent="0.25">
      <c r="A4" s="19"/>
      <c r="B4" s="12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5CF1E-3559-4FA4-BBD6-D2B45CCC527D}">
  <sheetPr codeName="Feuil5"/>
  <dimension ref="A1:I113"/>
  <sheetViews>
    <sheetView workbookViewId="0">
      <selection activeCell="D17" sqref="D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40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40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40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40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F9E3FF75-5AF3-4F57-8C70-1184C81F110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ABCEE1D-4954-4684-9A0A-67D46DDAD54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69E5882D-5789-4941-924C-D85B1B8119D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A68FED-DBA9-4925-A090-EFD69F9B040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6A6C-6798-4300-99D9-2F85DD39B25D}">
  <sheetPr codeName="Feuil9"/>
  <dimension ref="A1:I153"/>
  <sheetViews>
    <sheetView tabSelected="1" topLeftCell="A85" workbookViewId="0">
      <selection activeCell="C100" sqref="C10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12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40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10</v>
      </c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113" t="s">
        <v>40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13" t="s">
        <v>40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40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29</v>
      </c>
      <c r="B79" s="4">
        <v>6</v>
      </c>
      <c r="C79" s="114" t="s">
        <v>42</v>
      </c>
      <c r="D79" s="9"/>
    </row>
    <row r="80" spans="1:4" x14ac:dyDescent="0.25">
      <c r="A80" s="1" t="s">
        <v>29</v>
      </c>
      <c r="B80" s="2">
        <v>6</v>
      </c>
      <c r="C80" s="126" t="s">
        <v>44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40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29</v>
      </c>
      <c r="B98" s="4">
        <v>4</v>
      </c>
      <c r="C98" s="114" t="s">
        <v>43</v>
      </c>
      <c r="D98" s="9"/>
    </row>
    <row r="99" spans="1:4" x14ac:dyDescent="0.25">
      <c r="A99" s="1" t="s">
        <v>29</v>
      </c>
      <c r="B99" s="2">
        <v>3</v>
      </c>
      <c r="C99" s="126" t="s">
        <v>45</v>
      </c>
      <c r="D99" s="10"/>
    </row>
    <row r="100" spans="1:4" x14ac:dyDescent="0.25">
      <c r="A100" s="1" t="s">
        <v>29</v>
      </c>
      <c r="B100" s="2">
        <v>5</v>
      </c>
      <c r="C100" s="126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40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40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40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A21D910-A9DB-4D77-B8C0-8E1F6A65644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98:B112 B117:B131 B136:B150 B79:B93 B42:B55" xr:uid="{5452D8D7-468D-4B2A-9BD8-5D2065FBF27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116254C-CA90-4468-9D22-C48FF6A3710A}">
      <formula1>0</formula1>
      <formula2>NbPerWeek * NbQuartPer</formula2>
    </dataValidation>
    <dataValidation type="list" allowBlank="1" showInputMessage="1" showErrorMessage="1" sqref="A3:A17 A22:A36 A60:A74 A98:A112 A117:A131 A136:A150 A79:A93 A42:A55" xr:uid="{05523C99-1A69-4452-A52B-F40945F1FD4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2024-04-25T14:28:43Z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